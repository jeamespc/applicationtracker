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Dashboard" sheetId="2" state="visible" r:id="rId2"/>
    <sheet name="How To Use" sheetId="3" state="visible" r:id="rId3"/>
  </sheets>
  <definedNames>
    <definedName name="_xlnm._FilterDatabase" localSheetId="0" hidden="1">'Tracker'!$A$1:$M$23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b val="1"/>
      <sz val="11"/>
    </font>
    <font>
      <name val="Arial"/>
      <b val="1"/>
      <sz val="12"/>
    </font>
  </fonts>
  <fills count="1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D9D9D9"/>
      </patternFill>
    </fill>
    <fill>
      <patternFill patternType="solid">
        <fgColor rgb="00FFF2A8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70AD47"/>
      </patternFill>
    </fill>
    <fill>
      <patternFill patternType="solid">
        <fgColor rgb="00FF6B6B"/>
      </patternFill>
    </fill>
    <fill>
      <patternFill patternType="solid">
        <fgColor rgb="00808080"/>
      </patternFill>
    </fill>
    <fill>
      <patternFill patternType="solid">
        <fgColor rgb="00FFFF00"/>
      </patternFill>
    </fill>
    <fill>
      <patternFill patternType="solid">
        <fgColor rgb="0066CCCC"/>
      </patternFill>
    </fill>
    <fill>
      <patternFill patternType="solid">
        <fgColor rgb="00FF9900"/>
      </patternFill>
    </fill>
    <fill>
      <patternFill patternType="solid">
        <fgColor rgb="00FFCC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11">
    <dxf>
      <fill>
        <patternFill patternType="solid">
          <fgColor rgb="00FFFF00"/>
        </patternFill>
      </fill>
    </dxf>
    <dxf>
      <fill>
        <patternFill patternType="solid">
          <fgColor rgb="0066CCCC"/>
        </patternFill>
      </fill>
    </dxf>
    <dxf>
      <fill>
        <patternFill patternType="solid">
          <fgColor rgb="00FF9900"/>
        </patternFill>
      </fill>
    </dxf>
    <dxf>
      <fill>
        <patternFill patternType="solid">
          <fgColor rgb="00FFCC99"/>
        </patternFill>
      </fill>
    </dxf>
    <dxf>
      <fill>
        <patternFill patternType="solid">
          <fgColor rgb="00FF6B6B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FF2A8"/>
        </patternFill>
      </fill>
    </dxf>
    <dxf>
      <fill>
        <patternFill patternType="solid">
          <fgColor rgb="00A9D18E"/>
        </patternFill>
      </fill>
    </dxf>
    <dxf>
      <fill>
        <patternFill patternType="solid">
          <fgColor rgb="009DC3E6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8080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6" customWidth="1" min="3" max="3"/>
    <col width="10" customWidth="1" min="4" max="4"/>
    <col width="26" customWidth="1" min="5" max="5"/>
    <col width="16" customWidth="1" min="6" max="6"/>
    <col width="14" customWidth="1" min="7" max="7"/>
    <col width="26" customWidth="1" min="8" max="8"/>
    <col width="55" customWidth="1" min="9" max="9"/>
    <col width="20" customWidth="1" min="10" max="10"/>
    <col width="13" customWidth="1" min="11" max="11"/>
    <col width="13" customWidth="1" min="12" max="12"/>
    <col width="34" customWidth="1" min="13" max="13"/>
  </cols>
  <sheetData>
    <row r="1" ht="30" customHeight="1">
      <c r="A1" s="1" t="inlineStr">
        <is>
          <t>Studio</t>
        </is>
      </c>
      <c r="B1" s="1" t="inlineStr">
        <is>
          <t>Status</t>
        </is>
      </c>
      <c r="C1" s="1" t="inlineStr">
        <is>
          <t>Fit Tier</t>
        </is>
      </c>
      <c r="D1" s="1" t="inlineStr">
        <is>
          <t>Channel</t>
        </is>
      </c>
      <c r="E1" s="1" t="inlineStr">
        <is>
          <t>Contact</t>
        </is>
      </c>
      <c r="F1" s="1" t="inlineStr">
        <is>
          <t>Location</t>
        </is>
      </c>
      <c r="G1" s="1" t="inlineStr">
        <is>
          <t>Team Size</t>
        </is>
      </c>
      <c r="H1" s="1" t="inlineStr">
        <is>
          <t>Discipline</t>
        </is>
      </c>
      <c r="I1" s="1" t="inlineStr">
        <is>
          <t>Why It Fits / Notes</t>
        </is>
      </c>
      <c r="J1" s="1" t="inlineStr">
        <is>
          <t>Portfolio Pieces to Feature</t>
        </is>
      </c>
      <c r="K1" s="1" t="inlineStr">
        <is>
          <t>Date Applied</t>
        </is>
      </c>
      <c r="L1" s="1" t="inlineStr">
        <is>
          <t>Follow-up Date</t>
        </is>
      </c>
      <c r="M1" s="1" t="inlineStr">
        <is>
          <t>Response Log</t>
        </is>
      </c>
    </row>
    <row r="2" ht="46" customHeight="1">
      <c r="A2" s="2" t="inlineStr">
        <is>
          <t>Matteo Thun &amp; Partners</t>
        </is>
      </c>
      <c r="B2" s="2" t="inlineStr">
        <is>
          <t>Not Started</t>
        </is>
      </c>
      <c r="C2" s="2" t="inlineStr">
        <is>
          <t>Ready to Apply</t>
        </is>
      </c>
      <c r="D2" s="2" t="inlineStr">
        <is>
          <t>Website</t>
        </is>
      </c>
      <c r="E2" s="2" t="inlineStr"/>
      <c r="F2" s="2" t="inlineStr">
        <is>
          <t>Milan + Munich</t>
        </is>
      </c>
      <c r="G2" s="2" t="inlineStr">
        <is>
          <t>~70</t>
        </is>
      </c>
      <c r="H2" s="2" t="inlineStr">
        <is>
          <t>Architecture, interior, product, exhibition design</t>
        </is>
      </c>
      <c r="I2" s="2" t="inlineStr">
        <is>
          <t>Major pedigree (Thun co-founded Memphis Group with Sottsass). Live Junior Interior Designer posting right now, plus an actual connection through CrippaConcept.</t>
        </is>
      </c>
      <c r="J2" s="2" t="inlineStr"/>
      <c r="K2" s="3" t="n"/>
      <c r="L2" s="3" t="n"/>
      <c r="M2" s="2" t="inlineStr"/>
    </row>
    <row r="3" ht="46" customHeight="1">
      <c r="A3" s="2" t="inlineStr">
        <is>
          <t>Formafantasma</t>
        </is>
      </c>
      <c r="B3" s="2" t="inlineStr">
        <is>
          <t>Not Started</t>
        </is>
      </c>
      <c r="C3" s="2" t="inlineStr">
        <is>
          <t>Ready to Apply</t>
        </is>
      </c>
      <c r="D3" s="2" t="inlineStr">
        <is>
          <t>Email</t>
        </is>
      </c>
      <c r="E3" s="2" t="inlineStr">
        <is>
          <t>work@formafantasma.com</t>
        </is>
      </c>
      <c r="F3" s="2" t="inlineStr">
        <is>
          <t>Milan/Rotterdam</t>
        </is>
      </c>
      <c r="G3" s="2" t="inlineStr"/>
      <c r="H3" s="2" t="inlineStr">
        <is>
          <t>Design research (material &amp; ecological)</t>
        </is>
      </c>
      <c r="I3" s="2" t="inlineStr">
        <is>
          <t>Research studio (Trimarchi &amp; Farresin); treats design as material and ecological research rather than styling — form follows the research, not the other way around. Your strongest match.</t>
        </is>
      </c>
      <c r="J3" s="2" t="inlineStr">
        <is>
          <t>DEMY, Palazzo Bianco</t>
        </is>
      </c>
      <c r="K3" s="3" t="n"/>
      <c r="L3" s="3" t="n"/>
      <c r="M3" s="2" t="inlineStr"/>
    </row>
    <row r="4" ht="46" customHeight="1">
      <c r="A4" s="2" t="inlineStr">
        <is>
          <t>Atelierzero</t>
        </is>
      </c>
      <c r="B4" s="2" t="inlineStr">
        <is>
          <t>Not Started</t>
        </is>
      </c>
      <c r="C4" s="2" t="inlineStr">
        <is>
          <t>Ready to Apply</t>
        </is>
      </c>
      <c r="D4" s="2" t="inlineStr">
        <is>
          <t>Email</t>
        </is>
      </c>
      <c r="E4" s="2" t="inlineStr">
        <is>
          <t>info@atelierzero.it</t>
        </is>
      </c>
      <c r="F4" s="2" t="inlineStr"/>
      <c r="G4" s="2" t="inlineStr">
        <is>
          <t>3 founders</t>
        </is>
      </c>
      <c r="H4" s="2" t="inlineStr">
        <is>
          <t>Residential / retail / product</t>
        </is>
      </c>
      <c r="I4" s="2" t="inlineStr">
        <is>
          <t>Built on “emotional design with conceptual clarity.” Language very close to your own design philosophy; also a registered internship host.</t>
        </is>
      </c>
      <c r="J4" s="2" t="inlineStr"/>
      <c r="K4" s="3" t="n"/>
      <c r="L4" s="3" t="n"/>
      <c r="M4" s="2" t="inlineStr"/>
    </row>
    <row r="5" ht="46" customHeight="1">
      <c r="A5" s="2" t="inlineStr">
        <is>
          <t>Atelier Biagetti</t>
        </is>
      </c>
      <c r="B5" s="2" t="inlineStr">
        <is>
          <t>Not Started</t>
        </is>
      </c>
      <c r="C5" s="2" t="inlineStr">
        <is>
          <t>Ready to Apply</t>
        </is>
      </c>
      <c r="D5" s="2" t="inlineStr">
        <is>
          <t>Email</t>
        </is>
      </c>
      <c r="E5" s="2" t="inlineStr">
        <is>
          <t>info@atelierbiagetti.com</t>
        </is>
      </c>
      <c r="F5" s="2" t="inlineStr">
        <is>
          <t>Milan (Navigli)</t>
        </is>
      </c>
      <c r="G5" s="2" t="inlineStr">
        <is>
          <t>2 (duo)</t>
        </is>
      </c>
      <c r="H5" s="2" t="inlineStr">
        <is>
          <t>Furniture / art-object design</t>
        </is>
      </c>
      <c r="I5" s="2" t="inlineStr">
        <is>
          <t>Treat every project like a movie: surreal, theatrical, art-object furniture. Closest Milan equivalent to Supaform's small, authorial, provocative spirit.</t>
        </is>
      </c>
      <c r="J5" s="2" t="inlineStr">
        <is>
          <t>Supaform</t>
        </is>
      </c>
      <c r="K5" s="3" t="n"/>
      <c r="L5" s="3" t="n"/>
      <c r="M5" s="2" t="inlineStr"/>
    </row>
    <row r="6" ht="46" customHeight="1">
      <c r="A6" s="2" t="inlineStr">
        <is>
          <t>Migliore+Servetto</t>
        </is>
      </c>
      <c r="B6" s="2" t="inlineStr">
        <is>
          <t>Not Started</t>
        </is>
      </c>
      <c r="C6" s="2" t="inlineStr">
        <is>
          <t>Ready to Apply</t>
        </is>
      </c>
      <c r="D6" s="2" t="inlineStr">
        <is>
          <t>Email</t>
        </is>
      </c>
      <c r="E6" s="2" t="inlineStr">
        <is>
          <t>job@miglioreservetto.com</t>
        </is>
      </c>
      <c r="F6" s="2" t="inlineStr"/>
      <c r="G6" s="2" t="inlineStr"/>
      <c r="H6" s="2" t="inlineStr">
        <is>
          <t>Scenography / exhibition design</t>
        </is>
      </c>
      <c r="I6" s="2" t="inlineStr">
        <is>
          <t>Trained under Castiglioni; museums and “narrative spaces” built around the visitor's journey. Probably your single best match — designing how people move through and encounter a space is their literal discipline.</t>
        </is>
      </c>
      <c r="J6" s="2" t="inlineStr"/>
      <c r="K6" s="3" t="n"/>
      <c r="L6" s="3" t="n"/>
      <c r="M6" s="2" t="inlineStr"/>
    </row>
    <row r="7" ht="46" customHeight="1">
      <c r="A7" s="2" t="inlineStr">
        <is>
          <t>Park Associati</t>
        </is>
      </c>
      <c r="B7" s="2" t="inlineStr">
        <is>
          <t>Not Started</t>
        </is>
      </c>
      <c r="C7" s="2" t="inlineStr">
        <is>
          <t>Strong Fit</t>
        </is>
      </c>
      <c r="D7" s="2" t="inlineStr">
        <is>
          <t>Website</t>
        </is>
      </c>
      <c r="E7" s="2" t="inlineStr"/>
      <c r="F7" s="2" t="inlineStr"/>
      <c r="G7" s="2" t="inlineStr">
        <is>
          <t>Mid-large</t>
        </is>
      </c>
      <c r="H7" s="2" t="inlineStr">
        <is>
          <t>Architecture &amp; interior (corporate / retail)</t>
        </is>
      </c>
      <c r="I7" s="2" t="inlineStr">
        <is>
          <t>Corporate HQ and retail-scale architecture and interior design. Less personal-narrative fit, but size means real hiring turnover.</t>
        </is>
      </c>
      <c r="J7" s="2" t="inlineStr"/>
      <c r="K7" s="3" t="n"/>
      <c r="L7" s="3" t="n"/>
      <c r="M7" s="2" t="inlineStr"/>
    </row>
    <row r="8" ht="46" customHeight="1">
      <c r="A8" s="2" t="inlineStr">
        <is>
          <t>Vudafieri-Saverino Partners</t>
        </is>
      </c>
      <c r="B8" s="2" t="inlineStr">
        <is>
          <t>Not Started</t>
        </is>
      </c>
      <c r="C8" s="2" t="inlineStr">
        <is>
          <t>Strong Fit</t>
        </is>
      </c>
      <c r="D8" s="2" t="inlineStr">
        <is>
          <t>Email</t>
        </is>
      </c>
      <c r="E8" s="2" t="inlineStr">
        <is>
          <t>info@vudafierisaverino.it</t>
        </is>
      </c>
      <c r="F8" s="2" t="inlineStr"/>
      <c r="G8" s="2" t="inlineStr"/>
      <c r="H8" s="2" t="inlineStr">
        <is>
          <t>Retail, hospitality, restaurants</t>
        </is>
      </c>
      <c r="I8" s="2" t="inlineStr">
        <is>
          <t>Storytelling explicitly named as their method (ex-Sottsass pedigree). Their framing of “Concept Design and Storytelling Strategy” mirrors how you talk about your own process.</t>
        </is>
      </c>
      <c r="J8" s="2" t="inlineStr"/>
      <c r="K8" s="3" t="n"/>
      <c r="L8" s="3" t="n"/>
      <c r="M8" s="2" t="inlineStr"/>
    </row>
    <row r="9" ht="46" customHeight="1">
      <c r="A9" s="2" t="inlineStr">
        <is>
          <t>Locatelli Partners</t>
        </is>
      </c>
      <c r="B9" s="2" t="inlineStr">
        <is>
          <t>Not Started</t>
        </is>
      </c>
      <c r="C9" s="2" t="inlineStr">
        <is>
          <t>Strong Fit</t>
        </is>
      </c>
      <c r="D9" s="2" t="inlineStr">
        <is>
          <t>Email</t>
        </is>
      </c>
      <c r="E9" s="2" t="inlineStr">
        <is>
          <t>design@locatellipartners.com</t>
        </is>
      </c>
      <c r="F9" s="2" t="inlineStr">
        <is>
          <t>Milan + NY</t>
        </is>
      </c>
      <c r="G9" s="2" t="inlineStr">
        <is>
          <t>~60</t>
        </is>
      </c>
      <c r="H9" s="2" t="inlineStr">
        <is>
          <t>Architecture &amp; interiors</t>
        </is>
      </c>
      <c r="I9" s="2" t="inlineStr">
        <is>
          <t>Material- and tech-research-driven. Prominent and well-resourced — a solid junior-role bet.</t>
        </is>
      </c>
      <c r="J9" s="2" t="inlineStr"/>
      <c r="K9" s="3" t="n"/>
      <c r="L9" s="3" t="n"/>
      <c r="M9" s="2" t="inlineStr"/>
    </row>
    <row r="10" ht="46" customHeight="1">
      <c r="A10" s="2" t="inlineStr">
        <is>
          <t>Studiopepe</t>
        </is>
      </c>
      <c r="B10" s="2" t="inlineStr">
        <is>
          <t>Not Started</t>
        </is>
      </c>
      <c r="C10" s="2" t="inlineStr">
        <is>
          <t>Strong Fit</t>
        </is>
      </c>
      <c r="D10" s="2" t="inlineStr">
        <is>
          <t>Email</t>
        </is>
      </c>
      <c r="E10" s="2" t="inlineStr">
        <is>
          <t>apply@studiopepe.info</t>
        </is>
      </c>
      <c r="F10" s="2" t="inlineStr"/>
      <c r="G10" s="2" t="inlineStr"/>
      <c r="H10" s="2" t="inlineStr">
        <is>
          <t>Interiors (retail / hospitality / residential)</t>
        </is>
      </c>
      <c r="I10" s="2" t="inlineStr">
        <is>
          <t>Eclectic, art-directed, materially rich interiors. Probably your closest single aesthetic match overall.</t>
        </is>
      </c>
      <c r="J10" s="2" t="inlineStr"/>
      <c r="K10" s="3" t="n"/>
      <c r="L10" s="3" t="n"/>
      <c r="M10" s="2" t="inlineStr"/>
    </row>
    <row r="11" ht="46" customHeight="1">
      <c r="A11" s="2" t="inlineStr">
        <is>
          <t>Dimorestudio</t>
        </is>
      </c>
      <c r="B11" s="2" t="inlineStr">
        <is>
          <t>Not Started</t>
        </is>
      </c>
      <c r="C11" s="2" t="inlineStr">
        <is>
          <t>Strong Fit</t>
        </is>
      </c>
      <c r="D11" s="2" t="inlineStr">
        <is>
          <t>Email</t>
        </is>
      </c>
      <c r="E11" s="2" t="inlineStr">
        <is>
          <t>careers@dimorestudio.eu</t>
        </is>
      </c>
      <c r="F11" s="2" t="inlineStr"/>
      <c r="G11" s="2" t="inlineStr">
        <is>
          <t>40+</t>
        </is>
      </c>
      <c r="H11" s="2" t="inlineStr">
        <is>
          <t>Interiors (fashion / hospitality)</t>
        </is>
      </c>
      <c r="I11" s="2" t="inlineStr">
        <is>
          <t>Moody, atmospheric, “total work of art” interiors for major fashion and hospitality clients. Strong atmospheric match; has an active careers channel worth trying, though no live posting right now.</t>
        </is>
      </c>
      <c r="J11" s="2" t="inlineStr"/>
      <c r="K11" s="3" t="n"/>
      <c r="L11" s="3" t="n"/>
      <c r="M11" s="2" t="inlineStr"/>
    </row>
    <row r="12" ht="46" customHeight="1">
      <c r="A12" s="2" t="inlineStr">
        <is>
          <t>Cristina Celestino</t>
        </is>
      </c>
      <c r="B12" s="2" t="inlineStr">
        <is>
          <t>Not Started</t>
        </is>
      </c>
      <c r="C12" s="2" t="inlineStr">
        <is>
          <t>Strong Fit</t>
        </is>
      </c>
      <c r="D12" s="2" t="inlineStr">
        <is>
          <t>Email</t>
        </is>
      </c>
      <c r="E12" s="2" t="inlineStr">
        <is>
          <t>info@cristinacelestino.com</t>
        </is>
      </c>
      <c r="F12" s="2" t="inlineStr"/>
      <c r="G12" s="2" t="inlineStr">
        <is>
          <t>Small (personal-name studio)</t>
        </is>
      </c>
      <c r="H12" s="2" t="inlineStr">
        <is>
          <t>Residential &amp; product design</t>
        </is>
      </c>
      <c r="I12" s="2" t="inlineStr">
        <is>
          <t>Maximalist, color- and pattern-driven residential and product design. Closest to an authorial, small-scale practice like Supaform.</t>
        </is>
      </c>
      <c r="J12" s="2" t="inlineStr">
        <is>
          <t>Supaform</t>
        </is>
      </c>
      <c r="K12" s="3" t="n"/>
      <c r="L12" s="3" t="n"/>
      <c r="M12" s="2" t="inlineStr"/>
    </row>
    <row r="13" ht="46" customHeight="1">
      <c r="A13" s="2" t="inlineStr">
        <is>
          <t>Calvi Brambilla</t>
        </is>
      </c>
      <c r="B13" s="2" t="inlineStr">
        <is>
          <t>Not Started</t>
        </is>
      </c>
      <c r="C13" s="2" t="inlineStr">
        <is>
          <t>Strong Fit</t>
        </is>
      </c>
      <c r="D13" s="2" t="inlineStr">
        <is>
          <t>Email</t>
        </is>
      </c>
      <c r="E13" s="2" t="inlineStr">
        <is>
          <t>studio@calvibrambilla.it</t>
        </is>
      </c>
      <c r="F13" s="2" t="inlineStr"/>
      <c r="G13" s="2" t="inlineStr">
        <is>
          <t>Small team</t>
        </is>
      </c>
      <c r="H13" s="2" t="inlineStr">
        <is>
          <t>Interiors, exhibitions, product</t>
        </is>
      </c>
      <c r="I13" s="2" t="inlineStr">
        <is>
          <t>“Subtle irony”; teaching ties to Politecnico. Real exhibition-design chops at boutique scale — a good complement to Migliore+Servetto.</t>
        </is>
      </c>
      <c r="J13" s="2" t="inlineStr"/>
      <c r="K13" s="3" t="n"/>
      <c r="L13" s="3" t="n"/>
      <c r="M13" s="2" t="inlineStr"/>
    </row>
    <row r="14" ht="46" customHeight="1">
      <c r="A14" s="2" t="inlineStr">
        <is>
          <t>Atomaa</t>
        </is>
      </c>
      <c r="B14" s="2" t="inlineStr">
        <is>
          <t>Not Started</t>
        </is>
      </c>
      <c r="C14" s="2" t="inlineStr">
        <is>
          <t>Strong Fit</t>
        </is>
      </c>
      <c r="D14" s="2" t="inlineStr">
        <is>
          <t>Email</t>
        </is>
      </c>
      <c r="E14" s="2" t="inlineStr">
        <is>
          <t>jobs@atomaa.eu</t>
        </is>
      </c>
      <c r="F14" s="2" t="inlineStr">
        <is>
          <t>Milan + Edinburgh</t>
        </is>
      </c>
      <c r="G14" s="2" t="inlineStr">
        <is>
          <t>3 partners</t>
        </is>
      </c>
      <c r="H14" s="2" t="inlineStr">
        <is>
          <t>Residential / micro-living</t>
        </is>
      </c>
      <c r="I14" s="2" t="inlineStr">
        <is>
          <t>Hands-on material detailing. Boutique scale, close to your interior/spatial focus.</t>
        </is>
      </c>
      <c r="J14" s="2" t="inlineStr"/>
      <c r="K14" s="3" t="n"/>
      <c r="L14" s="3" t="n"/>
      <c r="M14" s="2" t="inlineStr"/>
    </row>
    <row r="15" ht="46" customHeight="1">
      <c r="A15" s="2" t="inlineStr">
        <is>
          <t>Studio MI·LO</t>
        </is>
      </c>
      <c r="B15" s="2" t="inlineStr">
        <is>
          <t>Not Started</t>
        </is>
      </c>
      <c r="C15" s="2" t="inlineStr">
        <is>
          <t>Strong Fit</t>
        </is>
      </c>
      <c r="D15" s="2" t="inlineStr">
        <is>
          <t>Email</t>
        </is>
      </c>
      <c r="E15" s="2" t="inlineStr"/>
      <c r="F15" s="2" t="inlineStr">
        <is>
          <t>Milan + London</t>
        </is>
      </c>
      <c r="G15" s="2" t="inlineStr">
        <is>
          <t>Small boutique</t>
        </is>
      </c>
      <c r="H15" s="2" t="inlineStr">
        <is>
          <t>Interiors</t>
        </is>
      </c>
      <c r="I15" s="2" t="inlineStr">
        <is>
          <t>Evocative interiors. Good mentorship scale, though the least-researched name on this list — confirm details before applying.</t>
        </is>
      </c>
      <c r="J15" s="2" t="inlineStr"/>
      <c r="K15" s="3" t="n"/>
      <c r="L15" s="3" t="n"/>
      <c r="M15" s="2" t="inlineStr"/>
    </row>
    <row r="16" ht="46" customHeight="1">
      <c r="A16" s="2" t="inlineStr">
        <is>
          <t>Lascia la Scia</t>
        </is>
      </c>
      <c r="B16" s="2" t="inlineStr">
        <is>
          <t>Not Started</t>
        </is>
      </c>
      <c r="C16" s="2" t="inlineStr">
        <is>
          <t>Strong Fit</t>
        </is>
      </c>
      <c r="D16" s="2" t="inlineStr">
        <is>
          <t>Email</t>
        </is>
      </c>
      <c r="E16" s="2" t="inlineStr"/>
      <c r="F16" s="2" t="inlineStr"/>
      <c r="G16" s="2" t="inlineStr">
        <is>
          <t>5 founding women architects</t>
        </is>
      </c>
      <c r="H16" s="2" t="inlineStr">
        <is>
          <t>Architecture</t>
        </is>
      </c>
      <c r="I16" s="2" t="inlineStr">
        <is>
          <t>Runs its own coworking lab; warm, collaborative culture. Craft-forward, community-minded — feels like a place that mentors closely.</t>
        </is>
      </c>
      <c r="J16" s="2" t="inlineStr"/>
      <c r="K16" s="3" t="n"/>
      <c r="L16" s="3" t="n"/>
      <c r="M16" s="2" t="inlineStr"/>
    </row>
    <row r="17" ht="46" customHeight="1">
      <c r="A17" s="2" t="inlineStr">
        <is>
          <t>Studio WOK</t>
        </is>
      </c>
      <c r="B17" s="2" t="inlineStr">
        <is>
          <t>Not Started</t>
        </is>
      </c>
      <c r="C17" s="2" t="inlineStr">
        <is>
          <t>Strong Fit</t>
        </is>
      </c>
      <c r="D17" s="2" t="inlineStr">
        <is>
          <t>Email</t>
        </is>
      </c>
      <c r="E17" s="2" t="inlineStr"/>
      <c r="F17" s="2" t="inlineStr"/>
      <c r="G17" s="2" t="inlineStr">
        <is>
          <t>3 partners</t>
        </is>
      </c>
      <c r="H17" s="2" t="inlineStr">
        <is>
          <t>Architecture (habitat-focused)</t>
        </is>
      </c>
      <c r="I17" s="2" t="inlineStr">
        <is>
          <t>Narrative, habitat-focused architecture. Real, demonstrated investment in training junior designers — they head SPD's Interior Design Master.</t>
        </is>
      </c>
      <c r="J17" s="2" t="inlineStr"/>
      <c r="K17" s="3" t="n"/>
      <c r="L17" s="3" t="n"/>
      <c r="M17" s="2" t="inlineStr"/>
    </row>
    <row r="18" ht="46" customHeight="1">
      <c r="A18" s="2" t="inlineStr">
        <is>
          <t>Stefano Boeri Architetti</t>
        </is>
      </c>
      <c r="B18" s="2" t="inlineStr">
        <is>
          <t>Not Started</t>
        </is>
      </c>
      <c r="C18" s="2" t="inlineStr">
        <is>
          <t>Strong Fit</t>
        </is>
      </c>
      <c r="D18" s="2" t="inlineStr">
        <is>
          <t>Email</t>
        </is>
      </c>
      <c r="E18" s="2" t="inlineStr">
        <is>
          <t>hr@stefanoboeriarchitetti.net</t>
        </is>
      </c>
      <c r="F18" s="2" t="inlineStr">
        <is>
          <t>Milan/Shanghai/Tirana</t>
        </is>
      </c>
      <c r="G18" s="2" t="inlineStr">
        <is>
          <t>Large</t>
        </is>
      </c>
      <c r="H18" s="2" t="inlineStr">
        <is>
          <t>Ecological urbanism</t>
        </is>
      </c>
      <c r="I18" s="2" t="inlineStr">
        <is>
          <t>Large-scale ecological urbanism (Bosco Verticale). Fits your urban/spatial side better than interiors; has a jobs page and open channel.</t>
        </is>
      </c>
      <c r="J18" s="2" t="inlineStr"/>
      <c r="K18" s="3" t="n"/>
      <c r="L18" s="3" t="n"/>
      <c r="M18" s="2" t="inlineStr"/>
    </row>
    <row r="19" ht="46" customHeight="1">
      <c r="A19" s="2" t="inlineStr">
        <is>
          <t>Studio Klass</t>
        </is>
      </c>
      <c r="B19" s="2" t="inlineStr">
        <is>
          <t>Not Started</t>
        </is>
      </c>
      <c r="C19" s="2" t="inlineStr">
        <is>
          <t>Strong Fit</t>
        </is>
      </c>
      <c r="D19" s="2" t="inlineStr">
        <is>
          <t>Email</t>
        </is>
      </c>
      <c r="E19" s="2" t="inlineStr">
        <is>
          <t>careers@studioklass.com</t>
        </is>
      </c>
      <c r="F19" s="2" t="inlineStr"/>
      <c r="G19" s="2" t="inlineStr">
        <is>
          <t>2 founders</t>
        </is>
      </c>
      <c r="H19" s="2" t="inlineStr">
        <is>
          <t>Product, interior, creative direction</t>
        </is>
      </c>
      <c r="I19" s="2" t="inlineStr">
        <is>
          <t>Teaching ties to IED. Smallest team here, with a direct pipeline from design education.</t>
        </is>
      </c>
      <c r="J19" s="2" t="inlineStr"/>
      <c r="K19" s="3" t="n"/>
      <c r="L19" s="3" t="n"/>
      <c r="M19" s="2" t="inlineStr"/>
    </row>
    <row r="20" ht="46" customHeight="1">
      <c r="A20" s="2" t="inlineStr">
        <is>
          <t>CrippaConcept</t>
        </is>
      </c>
      <c r="B20" s="2" t="inlineStr">
        <is>
          <t>Not Started</t>
        </is>
      </c>
      <c r="C20" s="2" t="inlineStr">
        <is>
          <t>Different Angle</t>
        </is>
      </c>
      <c r="D20" s="2" t="inlineStr">
        <is>
          <t>Website</t>
        </is>
      </c>
      <c r="E20" s="2" t="inlineStr"/>
      <c r="F20" s="2" t="inlineStr"/>
      <c r="G20" s="2" t="inlineStr"/>
      <c r="H20" s="2" t="inlineStr">
        <is>
          <t>Mobile-home / glamping manufacturer</t>
        </is>
      </c>
      <c r="I20" s="2" t="inlineStr">
        <is>
          <t>Not a design studio. Your existing warm connection via Prof. Trabattoni, thematically identical to Mechanisma, and the link into Matteo Thun &amp; Partners.</t>
        </is>
      </c>
      <c r="J20" s="2" t="inlineStr">
        <is>
          <t>Mechanisma</t>
        </is>
      </c>
      <c r="K20" s="3" t="n"/>
      <c r="L20" s="3" t="n"/>
      <c r="M20" s="2" t="inlineStr"/>
    </row>
    <row r="21" ht="46" customHeight="1">
      <c r="A21" s="2" t="inlineStr">
        <is>
          <t>Studio Urquiola</t>
        </is>
      </c>
      <c r="B21" s="2" t="inlineStr">
        <is>
          <t>Not Started</t>
        </is>
      </c>
      <c r="C21" s="2" t="inlineStr">
        <is>
          <t>Different Angle</t>
        </is>
      </c>
      <c r="D21" s="2" t="inlineStr">
        <is>
          <t>Email</t>
        </is>
      </c>
      <c r="E21" s="2" t="inlineStr">
        <is>
          <t>recruiting@patriciaurquiola.com</t>
        </is>
      </c>
      <c r="F21" s="2" t="inlineStr"/>
      <c r="G21" s="2" t="inlineStr">
        <is>
          <t>~40</t>
        </is>
      </c>
      <c r="H21" s="2" t="inlineStr">
        <is>
          <t>Architecture / interior / product</t>
        </is>
      </c>
      <c r="I21" s="2" t="inlineStr">
        <is>
          <t>Globally prominent (Patricia Urquiola); expressive, eclectic work. Big CV value; also worth trying for an actual junior role given its size.</t>
        </is>
      </c>
      <c r="J21" s="2" t="inlineStr"/>
      <c r="K21" s="3" t="n"/>
      <c r="L21" s="3" t="n"/>
      <c r="M21" s="2" t="inlineStr"/>
    </row>
    <row r="22" ht="46" customHeight="1">
      <c r="A22" s="2" t="inlineStr">
        <is>
          <t>LLABB</t>
        </is>
      </c>
      <c r="B22" s="2" t="inlineStr">
        <is>
          <t>Not Started</t>
        </is>
      </c>
      <c r="C22" s="2" t="inlineStr">
        <is>
          <t>Different Angle</t>
        </is>
      </c>
      <c r="D22" s="2" t="inlineStr">
        <is>
          <t>Email</t>
        </is>
      </c>
      <c r="E22" s="2" t="inlineStr">
        <is>
          <t>internship@llabb.eu</t>
        </is>
      </c>
      <c r="F22" s="2" t="inlineStr">
        <is>
          <t>Genova (not Milan)</t>
        </is>
      </c>
      <c r="G22" s="2" t="inlineStr"/>
      <c r="H22" s="2" t="inlineStr">
        <is>
          <t>Architecture (craft-rooted)</t>
        </is>
      </c>
      <c r="I22" s="2" t="inlineStr">
        <is>
          <t>Began as a carpentry workshop. Confirmed to host interns — worth the commute if hands-on material culture matters more than location.</t>
        </is>
      </c>
      <c r="J22" s="2" t="inlineStr"/>
      <c r="K22" s="3" t="n"/>
      <c r="L22" s="3" t="n"/>
      <c r="M22" s="2" t="inlineStr"/>
    </row>
    <row r="23" ht="46" customHeight="1">
      <c r="A23" s="2" t="inlineStr">
        <is>
          <t>Onsitestudio</t>
        </is>
      </c>
      <c r="B23" s="2" t="inlineStr">
        <is>
          <t>Rejected</t>
        </is>
      </c>
      <c r="C23" s="2" t="inlineStr">
        <is>
          <t>Rejected — Automatic (No Place)</t>
        </is>
      </c>
      <c r="D23" s="2" t="inlineStr">
        <is>
          <t>Email</t>
        </is>
      </c>
      <c r="E23" s="2" t="inlineStr">
        <is>
          <t>jobs@onsitestudio.it</t>
        </is>
      </c>
      <c r="F23" s="2" t="inlineStr"/>
      <c r="G23" s="2" t="inlineStr">
        <is>
          <t>~18</t>
        </is>
      </c>
      <c r="H23" s="2" t="inlineStr">
        <is>
          <t>Architecture</t>
        </is>
      </c>
      <c r="I23" s="2" t="inlineStr">
        <is>
          <t>Material- and context-sensitive studio. Officially registered internship host with real open slots; required software matches your toolkit almost exactly — confirm why this was auto-rejected before fully closing the door.</t>
        </is>
      </c>
      <c r="J23" s="2" t="inlineStr"/>
      <c r="K23" s="3" t="n"/>
      <c r="L23" s="3" t="n"/>
      <c r="M23" s="2" t="inlineStr"/>
    </row>
  </sheetData>
  <autoFilter ref="A1:M23"/>
  <conditionalFormatting sqref="C2:C23">
    <cfRule type="cellIs" priority="1" operator="equal" dxfId="0">
      <formula>"Ready to Apply"</formula>
    </cfRule>
    <cfRule type="cellIs" priority="2" operator="equal" dxfId="1">
      <formula>"Applied"</formula>
    </cfRule>
    <cfRule type="cellIs" priority="3" operator="equal" dxfId="2">
      <formula>"Strong Fit"</formula>
    </cfRule>
    <cfRule type="cellIs" priority="4" operator="equal" dxfId="3">
      <formula>"Different Angle"</formula>
    </cfRule>
    <cfRule type="cellIs" priority="5" operator="equal" dxfId="4">
      <formula>"Rejected — Automatic (No Place)"</formula>
    </cfRule>
    <cfRule type="cellIs" priority="6" operator="equal" dxfId="4">
      <formula>"Rejected — Assessed"</formula>
    </cfRule>
  </conditionalFormatting>
  <conditionalFormatting sqref="B2:B23">
    <cfRule type="cellIs" priority="7" operator="equal" dxfId="5">
      <formula>"Drafting"</formula>
    </cfRule>
    <cfRule type="cellIs" priority="8" operator="equal" dxfId="6">
      <formula>"Applied"</formula>
    </cfRule>
    <cfRule type="cellIs" priority="9" operator="equal" dxfId="7">
      <formula>"Responded"</formula>
    </cfRule>
    <cfRule type="cellIs" priority="10" operator="equal" dxfId="8">
      <formula>"Interview"</formula>
    </cfRule>
    <cfRule type="cellIs" priority="11" operator="equal" dxfId="9">
      <formula>"Offer"</formula>
    </cfRule>
    <cfRule type="cellIs" priority="12" operator="equal" dxfId="4">
      <formula>"Rejected"</formula>
    </cfRule>
    <cfRule type="cellIs" priority="13" operator="equal" dxfId="10">
      <formula>"Declined"</formula>
    </cfRule>
  </conditionalFormatting>
  <dataValidations count="3">
    <dataValidation sqref="B2:B23" showDropDown="0" showInputMessage="0" showErrorMessage="0" allowBlank="1" type="list">
      <formula1>"Not Started,Drafting,Applied,Responded,Interview,Offer,Rejected,Declined"</formula1>
    </dataValidation>
    <dataValidation sqref="C2:C23" showDropDown="0" showInputMessage="0" showErrorMessage="0" allowBlank="1" type="list">
      <formula1>"Ready to Apply,Applied,Strong Fit,Different Angle,Rejected — Automatic (No Place),Rejected — Assessed"</formula1>
    </dataValidation>
    <dataValidation sqref="D2:D23" showDropDown="0" showInputMessage="0" showErrorMessage="0" allowBlank="1" type="list">
      <formula1>"Email,Website"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4" t="inlineStr">
        <is>
          <t>Application Tracker Dashboard</t>
        </is>
      </c>
    </row>
    <row r="3">
      <c r="A3" s="5" t="inlineStr">
        <is>
          <t>Total Studios</t>
        </is>
      </c>
      <c r="B3" s="6">
        <f>COUNTA(Tracker!A2:A23)</f>
        <v/>
      </c>
    </row>
    <row r="5">
      <c r="A5" s="7" t="inlineStr">
        <is>
          <t>By Status</t>
        </is>
      </c>
    </row>
    <row r="6">
      <c r="A6" s="6" t="inlineStr">
        <is>
          <t>Not Started</t>
        </is>
      </c>
      <c r="B6" s="6">
        <f>COUNTIF(Tracker!$B$2:$B$23,A6)</f>
        <v/>
      </c>
    </row>
    <row r="7">
      <c r="A7" s="8" t="inlineStr">
        <is>
          <t>Drafting</t>
        </is>
      </c>
      <c r="B7" s="6">
        <f>COUNTIF(Tracker!$B$2:$B$23,A7)</f>
        <v/>
      </c>
    </row>
    <row r="8">
      <c r="A8" s="9" t="inlineStr">
        <is>
          <t>Applied</t>
        </is>
      </c>
      <c r="B8" s="6">
        <f>COUNTIF(Tracker!$B$2:$B$23,A8)</f>
        <v/>
      </c>
    </row>
    <row r="9">
      <c r="A9" s="10" t="inlineStr">
        <is>
          <t>Responded</t>
        </is>
      </c>
      <c r="B9" s="6">
        <f>COUNTIF(Tracker!$B$2:$B$23,A9)</f>
        <v/>
      </c>
    </row>
    <row r="10">
      <c r="A10" s="11" t="inlineStr">
        <is>
          <t>Interview</t>
        </is>
      </c>
      <c r="B10" s="6">
        <f>COUNTIF(Tracker!$B$2:$B$23,A10)</f>
        <v/>
      </c>
    </row>
    <row r="11">
      <c r="A11" s="12" t="inlineStr">
        <is>
          <t>Offer</t>
        </is>
      </c>
      <c r="B11" s="6">
        <f>COUNTIF(Tracker!$B$2:$B$23,A11)</f>
        <v/>
      </c>
    </row>
    <row r="12">
      <c r="A12" s="13" t="inlineStr">
        <is>
          <t>Rejected</t>
        </is>
      </c>
      <c r="B12" s="6">
        <f>COUNTIF(Tracker!$B$2:$B$23,A12)</f>
        <v/>
      </c>
    </row>
    <row r="13">
      <c r="A13" s="14" t="inlineStr">
        <is>
          <t>Declined</t>
        </is>
      </c>
      <c r="B13" s="6">
        <f>COUNTIF(Tracker!$B$2:$B$23,A13)</f>
        <v/>
      </c>
    </row>
    <row r="15">
      <c r="A15" s="7" t="inlineStr">
        <is>
          <t>By Fit Tier</t>
        </is>
      </c>
    </row>
    <row r="16">
      <c r="A16" s="15" t="inlineStr">
        <is>
          <t>Ready to Apply</t>
        </is>
      </c>
      <c r="B16" s="6">
        <f>COUNTIF(Tracker!$C$2:$C$23,A16)</f>
        <v/>
      </c>
    </row>
    <row r="17">
      <c r="A17" s="16" t="inlineStr">
        <is>
          <t>Applied</t>
        </is>
      </c>
      <c r="B17" s="6">
        <f>COUNTIF(Tracker!$C$2:$C$23,A17)</f>
        <v/>
      </c>
    </row>
    <row r="18">
      <c r="A18" s="17" t="inlineStr">
        <is>
          <t>Strong Fit</t>
        </is>
      </c>
      <c r="B18" s="6">
        <f>COUNTIF(Tracker!$C$2:$C$23,A18)</f>
        <v/>
      </c>
    </row>
    <row r="19">
      <c r="A19" s="18" t="inlineStr">
        <is>
          <t>Different Angle</t>
        </is>
      </c>
      <c r="B19" s="6">
        <f>COUNTIF(Tracker!$C$2:$C$23,A19)</f>
        <v/>
      </c>
    </row>
    <row r="20">
      <c r="A20" s="13" t="inlineStr">
        <is>
          <t>Rejected — Automatic (No Place)</t>
        </is>
      </c>
      <c r="B20" s="6">
        <f>COUNTIF(Tracker!$C$2:$C$23,A20)</f>
        <v/>
      </c>
    </row>
    <row r="21">
      <c r="A21" s="13" t="inlineStr">
        <is>
          <t>Rejected — Assessed</t>
        </is>
      </c>
      <c r="B21" s="6">
        <f>COUNTIF(Tracker!$C$2:$C$23,A21)</f>
        <v/>
      </c>
    </row>
    <row r="23">
      <c r="A23" s="7" t="inlineStr">
        <is>
          <t>By Channel</t>
        </is>
      </c>
    </row>
    <row r="24">
      <c r="A24" s="6" t="inlineStr">
        <is>
          <t>Email</t>
        </is>
      </c>
      <c r="B24" s="6">
        <f>COUNTIF(Tracker!$D$2:$D$23,A24)</f>
        <v/>
      </c>
    </row>
    <row r="25">
      <c r="A25" s="6" t="inlineStr">
        <is>
          <t>Website</t>
        </is>
      </c>
      <c r="B25" s="6">
        <f>COUNTIF(Tracker!$D$2:$D$23,A25)</f>
        <v/>
      </c>
    </row>
    <row r="28">
      <c r="A28" s="7" t="inlineStr">
        <is>
          <t>Follow-ups Due (today or overdue)</t>
        </is>
      </c>
    </row>
    <row r="29">
      <c r="A29" s="6" t="inlineStr">
        <is>
          <t>Count</t>
        </is>
      </c>
      <c r="B29" s="6">
        <f>COUNTIFS(Tracker!$L$2:$L$23,"&lt;="&amp;TODAY(),Tracker!$L$2:$L$23,"&lt;&gt;")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9" t="inlineStr">
        <is>
          <t>Application Tracker — How This Works</t>
        </is>
      </c>
    </row>
    <row r="2">
      <c r="A2" s="20" t="inlineStr"/>
    </row>
    <row r="3">
      <c r="A3" s="20" t="inlineStr">
        <is>
          <t>This workbook rebuilds “The List” as a working tracker instead of a static document.</t>
        </is>
      </c>
    </row>
    <row r="4">
      <c r="A4" s="20" t="inlineStr"/>
    </row>
    <row r="5">
      <c r="A5" s="21" t="inlineStr">
        <is>
          <t>TABS</t>
        </is>
      </c>
    </row>
    <row r="6">
      <c r="A6" s="20" t="inlineStr">
        <is>
          <t>Tracker — one row per studio. Edit Status, Date Applied, Follow-up Date, and Response Log as you go.</t>
        </is>
      </c>
    </row>
    <row r="7">
      <c r="A7" s="20" t="inlineStr">
        <is>
          <t>Dashboard — live counts, pulled automatically from the Tracker tab. Nothing to edit here.</t>
        </is>
      </c>
    </row>
    <row r="8">
      <c r="A8" s="20" t="inlineStr"/>
    </row>
    <row r="9">
      <c r="A9" s="21" t="inlineStr">
        <is>
          <t>COLUMNS TO EDIT AS YOU WORK</t>
        </is>
      </c>
    </row>
    <row r="10">
      <c r="A10" s="20" t="inlineStr">
        <is>
          <t>Status — your day-to-day pipeline stage. Dropdown: Not Started, Drafting, Applied, Responded, Interview, Offer, Rejected, Declined.</t>
        </is>
      </c>
    </row>
    <row r="11">
      <c r="A11" s="20" t="inlineStr">
        <is>
          <t>Date Applied / Follow-up Date — fill in when you send something; set Follow-up ~2 weeks out.</t>
        </is>
      </c>
    </row>
    <row r="12">
      <c r="A12" s="20" t="inlineStr">
        <is>
          <t>Response Log — free text. Log what they said, interview dates, next steps.</t>
        </is>
      </c>
    </row>
    <row r="13">
      <c r="A13" s="20" t="inlineStr">
        <is>
          <t>Portfolio Pieces to Feature — which of your projects (DEMY, Palazzo Bianco, Mechanisma, Supaform, etc.) to lead with for that studio.</t>
        </is>
      </c>
    </row>
    <row r="14">
      <c r="A14" s="20" t="inlineStr"/>
    </row>
    <row r="15">
      <c r="A15" s="21" t="inlineStr">
        <is>
          <t>FIT TIER (carried over from The List, colour-coded same as the original)</t>
        </is>
      </c>
    </row>
    <row r="16">
      <c r="A16" s="20" t="inlineStr">
        <is>
          <t>Ready to Apply (yellow) — top of the list: apply first.</t>
        </is>
      </c>
    </row>
    <row r="17">
      <c r="A17" s="20" t="inlineStr">
        <is>
          <t>Applied (teal) — already sent, waiting to hear back.</t>
        </is>
      </c>
    </row>
    <row r="18">
      <c r="A18" s="20" t="inlineStr">
        <is>
          <t>Strong Fit (orange) — strong match, not yet contacted.</t>
        </is>
      </c>
    </row>
    <row r="19">
      <c r="A19" s="20" t="inlineStr">
        <is>
          <t>Different Angle (light orange) — adjacent / backup angle, not a core design-studio fit.</t>
        </is>
      </c>
    </row>
    <row r="20">
      <c r="A20" s="20" t="inlineStr">
        <is>
          <t>Rejected — Automatic (No Place) / Rejected — Assessed (red) — not pursuing. Onsitestudio is pre-filled here from the original doc — its note flags that it looked strong on paper, so worth a second look before ruling it out for good.</t>
        </is>
      </c>
    </row>
    <row r="21">
      <c r="A21" s="20" t="inlineStr"/>
    </row>
    <row r="22">
      <c r="A22" s="21" t="inlineStr">
        <is>
          <t>SUGGESTED WORKFLOW PER STUDIO</t>
        </is>
      </c>
    </row>
    <row r="23">
      <c r="A23" s="20" t="inlineStr">
        <is>
          <t>1. Confirm contact / posting is still live.</t>
        </is>
      </c>
    </row>
    <row r="24">
      <c r="A24" s="20" t="inlineStr">
        <is>
          <t>2. Pick portfolio pieces to feature (use the fit notes in ‘Why It Fits’ as a guide).</t>
        </is>
      </c>
    </row>
    <row r="25">
      <c r="A25" s="20" t="inlineStr">
        <is>
          <t>3. Tailor CV + short intro email or website application.</t>
        </is>
      </c>
    </row>
    <row r="26">
      <c r="A26" s="20" t="inlineStr">
        <is>
          <t>4. Send — set Status to ‘Applied’, fill Date Applied, set Follow-up Date (+2 weeks).</t>
        </is>
      </c>
    </row>
    <row r="27">
      <c r="A27" s="20" t="inlineStr">
        <is>
          <t>5. On response, update Status (Responded / Interview / Offer / Rejected) and log it.</t>
        </is>
      </c>
    </row>
    <row r="28">
      <c r="A28" s="20" t="inlineStr">
        <is>
          <t>6. Check the Dashboard's ‘Follow-ups Due’ count when you open the file — that's your action list.</t>
        </is>
      </c>
    </row>
    <row r="29">
      <c r="A29" s="20" t="inlineStr"/>
    </row>
    <row r="30">
      <c r="A30" s="20" t="inlineStr">
        <is>
          <t>Some Location, Team Size and Contact cells are blank where the original notes didn't specify — confirm before applying rather than assuming.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2026-07-29T10:51:42Z</dcterms:created>
  <dcterms:modified xsi:type="dcterms:W3CDTF">2026-07-29T10:51:42Z</dcterms:modified>
</cp:coreProperties>
</file>